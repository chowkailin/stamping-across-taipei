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riscilia/Documents/passion projects '25/dataviz/[mar] stamping across taipei/"/>
    </mc:Choice>
  </mc:AlternateContent>
  <xr:revisionPtr revIDLastSave="0" documentId="13_ncr:1_{F720CB43-3B03-FA4F-86B9-ADE3D3C149EE}" xr6:coauthVersionLast="47" xr6:coauthVersionMax="47" xr10:uidLastSave="{00000000-0000-0000-0000-000000000000}"/>
  <bookViews>
    <workbookView xWindow="0" yWindow="600" windowWidth="28800" windowHeight="15740" xr2:uid="{00000000-000D-0000-FFFF-FFFF00000000}"/>
  </bookViews>
  <sheets>
    <sheet name="taipei stamp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3" l="1"/>
  <c r="C117" i="3"/>
  <c r="C116" i="3"/>
  <c r="C115" i="3"/>
  <c r="D115" i="3" s="1"/>
  <c r="C114" i="3"/>
  <c r="D114" i="3" s="1"/>
  <c r="C113" i="3"/>
  <c r="D113" i="3" s="1"/>
  <c r="C112" i="3"/>
  <c r="D112" i="3" s="1"/>
  <c r="C111" i="3"/>
  <c r="D111" i="3" s="1"/>
  <c r="C110" i="3"/>
  <c r="D110" i="3" s="1"/>
  <c r="C109" i="3"/>
  <c r="D109" i="3" s="1"/>
  <c r="C108" i="3"/>
  <c r="D108" i="3" s="1"/>
  <c r="C107" i="3"/>
  <c r="D107" i="3" s="1"/>
  <c r="C106" i="3"/>
  <c r="D106" i="3" s="1"/>
  <c r="C105" i="3"/>
  <c r="D105" i="3" s="1"/>
  <c r="C104" i="3"/>
  <c r="D104" i="3" s="1"/>
  <c r="C103" i="3"/>
  <c r="D103" i="3" s="1"/>
  <c r="C102" i="3"/>
  <c r="D102" i="3" s="1"/>
  <c r="C101" i="3"/>
  <c r="D101" i="3" s="1"/>
  <c r="C100" i="3"/>
  <c r="D100" i="3" s="1"/>
  <c r="C99" i="3"/>
  <c r="D99" i="3" s="1"/>
  <c r="C98" i="3"/>
  <c r="D98" i="3" s="1"/>
  <c r="C97" i="3"/>
  <c r="D97" i="3" s="1"/>
  <c r="C96" i="3"/>
  <c r="D96" i="3" s="1"/>
  <c r="C95" i="3"/>
  <c r="C120" i="3" s="1"/>
  <c r="C119" i="3" l="1"/>
  <c r="D119" i="3" s="1"/>
  <c r="D95" i="3"/>
  <c r="D117" i="3" l="1"/>
  <c r="D116" i="3"/>
  <c r="D120" i="3"/>
  <c r="D118" i="3"/>
</calcChain>
</file>

<file path=xl/sharedStrings.xml><?xml version="1.0" encoding="utf-8"?>
<sst xmlns="http://schemas.openxmlformats.org/spreadsheetml/2006/main" count="769" uniqueCount="283">
  <si>
    <t>date</t>
  </si>
  <si>
    <t>remarks</t>
  </si>
  <si>
    <t>no.</t>
  </si>
  <si>
    <t>time</t>
  </si>
  <si>
    <t>description</t>
  </si>
  <si>
    <t>location</t>
  </si>
  <si>
    <t>category</t>
  </si>
  <si>
    <t>size</t>
  </si>
  <si>
    <t>shape</t>
  </si>
  <si>
    <t>colour</t>
  </si>
  <si>
    <t>#1</t>
  </si>
  <si>
    <t>Airport Metro: A12</t>
  </si>
  <si>
    <t>Airport T1</t>
  </si>
  <si>
    <t>metro</t>
  </si>
  <si>
    <t>medium</t>
  </si>
  <si>
    <t>circle</t>
  </si>
  <si>
    <t>blue</t>
  </si>
  <si>
    <t>5.5 x 5.5</t>
  </si>
  <si>
    <t>#2</t>
  </si>
  <si>
    <t>Airport Metro: A1</t>
  </si>
  <si>
    <t>Taipei Main Station</t>
  </si>
  <si>
    <t>#3</t>
  </si>
  <si>
    <t>Taipei Metro Stamp</t>
  </si>
  <si>
    <t>large</t>
  </si>
  <si>
    <t>oval</t>
  </si>
  <si>
    <t>black</t>
  </si>
  <si>
    <t>7.5 x 5.0</t>
  </si>
  <si>
    <t>#4</t>
  </si>
  <si>
    <t>Gongguan Station</t>
  </si>
  <si>
    <t>green</t>
  </si>
  <si>
    <t>#5</t>
  </si>
  <si>
    <t>Ximen Station</t>
  </si>
  <si>
    <t>#6</t>
  </si>
  <si>
    <t>Longshan Temple Station</t>
  </si>
  <si>
    <t>odd</t>
  </si>
  <si>
    <t>6.5 x 5.0</t>
  </si>
  <si>
    <t>#7</t>
  </si>
  <si>
    <t>YMS Stamp 1</t>
  </si>
  <si>
    <t>Qingtiangang</t>
  </si>
  <si>
    <t>nat. parks</t>
  </si>
  <si>
    <t>6.5 x 6.5</t>
  </si>
  <si>
    <t>#8</t>
  </si>
  <si>
    <t>YMS Stamp 2</t>
  </si>
  <si>
    <t>#9</t>
  </si>
  <si>
    <t>YMS Stamp 3</t>
  </si>
  <si>
    <t>#10</t>
  </si>
  <si>
    <t>YMS Stamp 4</t>
  </si>
  <si>
    <t>#11</t>
  </si>
  <si>
    <t>Date Stamp</t>
  </si>
  <si>
    <t>mini</t>
  </si>
  <si>
    <t>rectangle</t>
  </si>
  <si>
    <t>3.5 x 0.5</t>
  </si>
  <si>
    <t>#12</t>
  </si>
  <si>
    <t>YMS Stamp 5</t>
  </si>
  <si>
    <t>#13</t>
  </si>
  <si>
    <t>YMS Stamp 6</t>
  </si>
  <si>
    <t>4.8 x 4.8</t>
  </si>
  <si>
    <t>#14</t>
  </si>
  <si>
    <t>YMS Stamp 7</t>
  </si>
  <si>
    <t>#15</t>
  </si>
  <si>
    <t>YMS Stamp 8</t>
  </si>
  <si>
    <t>small</t>
  </si>
  <si>
    <t>5.0 x 3.5</t>
  </si>
  <si>
    <t>#16</t>
  </si>
  <si>
    <t>YMS Stamp 9</t>
  </si>
  <si>
    <t>Flower Clock</t>
  </si>
  <si>
    <t>4.0 x 3.2</t>
  </si>
  <si>
    <t>#17</t>
  </si>
  <si>
    <t>Jiantan Station</t>
  </si>
  <si>
    <t>red</t>
  </si>
  <si>
    <t>5.0 x 5.0</t>
  </si>
  <si>
    <t>#18</t>
  </si>
  <si>
    <t>Dongmen Station</t>
  </si>
  <si>
    <t>#19</t>
  </si>
  <si>
    <t>Lai Hao Stamp 1 - beer</t>
  </si>
  <si>
    <t>Lai Hao Da'an</t>
  </si>
  <si>
    <t>retail shops</t>
  </si>
  <si>
    <t>7.0 x 2.4</t>
  </si>
  <si>
    <t>#20</t>
  </si>
  <si>
    <t>Lai Hao Stamp 2 - xiaolongbao</t>
  </si>
  <si>
    <t>3.2 x 3.2</t>
  </si>
  <si>
    <t>#21</t>
  </si>
  <si>
    <t>Lai Hao Stamp 3 - mango</t>
  </si>
  <si>
    <t>4.4 x 3.5</t>
  </si>
  <si>
    <t>#22</t>
  </si>
  <si>
    <t>Lai Hao Stamp 4 - sky lantern</t>
  </si>
  <si>
    <t>2.1 x 2.3</t>
  </si>
  <si>
    <t>#23</t>
  </si>
  <si>
    <t>Lai Hao Stamp 5 - xi</t>
  </si>
  <si>
    <t>4.5 x 4.5</t>
  </si>
  <si>
    <t>#24</t>
  </si>
  <si>
    <t>Lai Hao Stamp 6 - lai</t>
  </si>
  <si>
    <t>1.2 x 1.3</t>
  </si>
  <si>
    <t>#25</t>
  </si>
  <si>
    <t>Lai Hao Stamp 7 - hao</t>
  </si>
  <si>
    <t>1.4 x 1.2</t>
  </si>
  <si>
    <t>#26</t>
  </si>
  <si>
    <t>Lai Hao Stamp 8 - tower</t>
  </si>
  <si>
    <t>8.1 x 1.5</t>
  </si>
  <si>
    <t>#27</t>
  </si>
  <si>
    <t>Lai Hao Stamp 9 - pineapple</t>
  </si>
  <si>
    <t>2.8 x 5.0</t>
  </si>
  <si>
    <t>#28</t>
  </si>
  <si>
    <t>Lai Hao Stamp 10 - snow ice</t>
  </si>
  <si>
    <t>3.0 x 3.0</t>
  </si>
  <si>
    <t>#29</t>
  </si>
  <si>
    <t>Lai Hao Stamp 11 - bubble tea</t>
  </si>
  <si>
    <t>1.8 x 3.2</t>
  </si>
  <si>
    <t>#30</t>
  </si>
  <si>
    <t>Lai Hao Stamp 12 - lantern</t>
  </si>
  <si>
    <t>2.0 x 6.3</t>
  </si>
  <si>
    <t>#31</t>
  </si>
  <si>
    <t>Lai Hao Stamp 13 - love taipei</t>
  </si>
  <si>
    <t>3.5 x 3.2</t>
  </si>
  <si>
    <t>#32</t>
  </si>
  <si>
    <t>Lai Hao Stamp 14 - flower</t>
  </si>
  <si>
    <t>5.0 x 6.0</t>
  </si>
  <si>
    <t>#33</t>
  </si>
  <si>
    <t>Bao Maison Stamp 1</t>
  </si>
  <si>
    <t>Bao Maison Da'an</t>
  </si>
  <si>
    <t>3.2 x 2.8</t>
  </si>
  <si>
    <t>#34</t>
  </si>
  <si>
    <t>Bao Maison Stamp 2</t>
  </si>
  <si>
    <t>2.4 x 3.0</t>
  </si>
  <si>
    <t>#35</t>
  </si>
  <si>
    <t>Bao Maison Stamp 3</t>
  </si>
  <si>
    <t>2.0 x 3.0</t>
  </si>
  <si>
    <t>#36</t>
  </si>
  <si>
    <t>Bao Maison Stamp 4</t>
  </si>
  <si>
    <t>1.5 x 3.2</t>
  </si>
  <si>
    <t>#37</t>
  </si>
  <si>
    <t>Bao Maison Stamp 5</t>
  </si>
  <si>
    <t>#38</t>
  </si>
  <si>
    <t>Bao Maison Stamp 6</t>
  </si>
  <si>
    <t>1.5 x 3.0</t>
  </si>
  <si>
    <t>#39</t>
  </si>
  <si>
    <t>Bao Maison Stamp 7 - tile</t>
  </si>
  <si>
    <t>square</t>
  </si>
  <si>
    <t>#40</t>
  </si>
  <si>
    <t>Tegamisha Pop-Up Stamp 1 - sticky note</t>
  </si>
  <si>
    <t>Huashan 1914 Creative Park</t>
  </si>
  <si>
    <t>3.0 x 4.0</t>
  </si>
  <si>
    <t>#41</t>
  </si>
  <si>
    <t>Tegamisha Pop-Up Stamp 2 - lucky bottle</t>
  </si>
  <si>
    <t>2.7 x 3.5</t>
  </si>
  <si>
    <t>#42</t>
  </si>
  <si>
    <t>Tegamisha Pop-Up Stamp 3 - postage</t>
  </si>
  <si>
    <t>4.3 x 2.3</t>
  </si>
  <si>
    <t>#43</t>
  </si>
  <si>
    <t>Tegamisha Pop-Up Stamp 4</t>
  </si>
  <si>
    <t>2.6 x 2.6</t>
  </si>
  <si>
    <t>#44</t>
  </si>
  <si>
    <t>Tegamisha Pop-Up Stamp 5 - cup of squished bears</t>
  </si>
  <si>
    <t>#45</t>
  </si>
  <si>
    <t>Tegamisha Pop-Up Stamp 6 - 3 squished bears</t>
  </si>
  <si>
    <t>3.5 x 1.4</t>
  </si>
  <si>
    <t>#46</t>
  </si>
  <si>
    <t>Tegamisha Pop-Up Stamp 7 - pig ufo</t>
  </si>
  <si>
    <t>2.7 x 2.8</t>
  </si>
  <si>
    <t>#47</t>
  </si>
  <si>
    <t>Tegamisha Pop-Up Stamp 8 - bear bottle</t>
  </si>
  <si>
    <t>2.6 x 2.2</t>
  </si>
  <si>
    <t>#48</t>
  </si>
  <si>
    <t>Tegamisha Pop-Up Stamp 9 - good</t>
  </si>
  <si>
    <t>2.5 x 1.0</t>
  </si>
  <si>
    <t>#49</t>
  </si>
  <si>
    <t>Tegamisha Pop-Up Stamp 10 - praying cat</t>
  </si>
  <si>
    <t>2.2 x 3.3</t>
  </si>
  <si>
    <t>#50</t>
  </si>
  <si>
    <t>Tegamisha Pop-Up Stamp 11 - bowl of food</t>
  </si>
  <si>
    <t>3.3 x 4.4</t>
  </si>
  <si>
    <t>#51</t>
  </si>
  <si>
    <t>Songjiang Nanjing Station</t>
  </si>
  <si>
    <t>#52</t>
  </si>
  <si>
    <t>Zhongshan Station</t>
  </si>
  <si>
    <t>#53</t>
  </si>
  <si>
    <t>Local Train Stamp 1</t>
  </si>
  <si>
    <t>Keelung Station</t>
  </si>
  <si>
    <t>#54</t>
  </si>
  <si>
    <t>Local Train Stamp 2</t>
  </si>
  <si>
    <t>1.8 x 1.8</t>
  </si>
  <si>
    <t>#55</t>
  </si>
  <si>
    <t>Keelung Starbucks Stamp 1</t>
  </si>
  <si>
    <t>Keelung Starbucks</t>
  </si>
  <si>
    <t>f&amp;b</t>
  </si>
  <si>
    <t>5.0 x 4.5</t>
  </si>
  <si>
    <t>#56</t>
  </si>
  <si>
    <t>Keelung Starbucks Stamp 2</t>
  </si>
  <si>
    <t>5.5 x 2.4</t>
  </si>
  <si>
    <t>#57</t>
  </si>
  <si>
    <t>Heping Geopark Animal Stamp 1</t>
  </si>
  <si>
    <t>Heping Geo Park</t>
  </si>
  <si>
    <t>4.0 x 4.0</t>
  </si>
  <si>
    <t>#58</t>
  </si>
  <si>
    <t>Heping Geopark Animal Stamp 2</t>
  </si>
  <si>
    <t>#59</t>
  </si>
  <si>
    <t>Heping Geopark Animal Stamp 3</t>
  </si>
  <si>
    <t>#60</t>
  </si>
  <si>
    <t>Heping Geopark Animal Stamp 4</t>
  </si>
  <si>
    <t>#61</t>
  </si>
  <si>
    <t>Heping Geopark Animal Stamp 5</t>
  </si>
  <si>
    <t>#62</t>
  </si>
  <si>
    <t>Heping Geopark Animal Stamp 6</t>
  </si>
  <si>
    <t>#63</t>
  </si>
  <si>
    <t>Heping Geopark Animal Stamp 7</t>
  </si>
  <si>
    <t>#64</t>
  </si>
  <si>
    <t>Heping Geopark Animal Stamp 8</t>
  </si>
  <si>
    <t>#65</t>
  </si>
  <si>
    <t>Heping Geopark Animal Stamp 9</t>
  </si>
  <si>
    <t>#66</t>
  </si>
  <si>
    <t>Heping Geopark Animal Stamp 10</t>
  </si>
  <si>
    <t>#67</t>
  </si>
  <si>
    <t>Heping Geopark Animal Stamp 11</t>
  </si>
  <si>
    <t>#68</t>
  </si>
  <si>
    <t>Heping Geopark Stamp 1</t>
  </si>
  <si>
    <t>3.5 x 2.0</t>
  </si>
  <si>
    <t>#69</t>
  </si>
  <si>
    <t>Heping Geopark Stamp 2</t>
  </si>
  <si>
    <t>#70</t>
  </si>
  <si>
    <t>Heping Geopark Stamp 3</t>
  </si>
  <si>
    <t>2.4 x 2.4</t>
  </si>
  <si>
    <t>#71</t>
  </si>
  <si>
    <t>Heping Geopark Stamp 4</t>
  </si>
  <si>
    <t>#72</t>
  </si>
  <si>
    <t>The Red House Stamp 1</t>
  </si>
  <si>
    <t>The Red House</t>
  </si>
  <si>
    <t>museums</t>
  </si>
  <si>
    <t>multi</t>
  </si>
  <si>
    <t>10.5 x 7.5</t>
  </si>
  <si>
    <t>#73</t>
  </si>
  <si>
    <t>The Red House Stamp 2</t>
  </si>
  <si>
    <t>orange</t>
  </si>
  <si>
    <t>8.5 x 8.5</t>
  </si>
  <si>
    <t>#74</t>
  </si>
  <si>
    <t>Postal Museum Stamp 1</t>
  </si>
  <si>
    <t>Postal Museum Beimen</t>
  </si>
  <si>
    <t>4.0 x 3.8</t>
  </si>
  <si>
    <t>#75</t>
  </si>
  <si>
    <t>Postal Museum Stamp 2</t>
  </si>
  <si>
    <t>#76</t>
  </si>
  <si>
    <t>Postal Museum Stamp 3</t>
  </si>
  <si>
    <t>#77</t>
  </si>
  <si>
    <t>Postal Museum Stamp 4</t>
  </si>
  <si>
    <t>#78</t>
  </si>
  <si>
    <t>Postal Museum Stamp 5</t>
  </si>
  <si>
    <t>#79</t>
  </si>
  <si>
    <t>Postal Museum Stamp 6</t>
  </si>
  <si>
    <t>8.0 x 2.3</t>
  </si>
  <si>
    <t>#80</t>
  </si>
  <si>
    <t>Postal Museum Stamp 7</t>
  </si>
  <si>
    <t>#81</t>
  </si>
  <si>
    <t>Postal Museum Stamp 8</t>
  </si>
  <si>
    <t>#82</t>
  </si>
  <si>
    <t>Postal Museum Stamp 9</t>
  </si>
  <si>
    <t>#83</t>
  </si>
  <si>
    <t>Postal Museum Stamp 10</t>
  </si>
  <si>
    <t>#84</t>
  </si>
  <si>
    <t>Postal Museum Stamp 11</t>
  </si>
  <si>
    <t>4.2 x 4.4</t>
  </si>
  <si>
    <t>#85</t>
  </si>
  <si>
    <t>Postal Museum Stamp 12</t>
  </si>
  <si>
    <t>3.4 x 3.4</t>
  </si>
  <si>
    <t>#86</t>
  </si>
  <si>
    <t>Postal Museum Stamp 13</t>
  </si>
  <si>
    <t>3.6 x 3.8</t>
  </si>
  <si>
    <t>#87</t>
  </si>
  <si>
    <t>Postal Museum Stamp 14</t>
  </si>
  <si>
    <t>9.0 x 6.0</t>
  </si>
  <si>
    <t>#88</t>
  </si>
  <si>
    <t>Beimen Station</t>
  </si>
  <si>
    <t>#89</t>
  </si>
  <si>
    <t>Dadaocheng Stamp 1</t>
  </si>
  <si>
    <t>Dadaocheng Tourist Centre</t>
  </si>
  <si>
    <t>tourist centres</t>
  </si>
  <si>
    <t>5.0 x 2.0</t>
  </si>
  <si>
    <t>#90</t>
  </si>
  <si>
    <t>Dadaocheng Stamp 2</t>
  </si>
  <si>
    <t>#91</t>
  </si>
  <si>
    <t>Dadaocheng Stamp 3</t>
  </si>
  <si>
    <t>legend</t>
  </si>
  <si>
    <t>count</t>
  </si>
  <si>
    <t>percentage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</si>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</sst>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h&quot;:&quot;mm&quot; &quot;AM/PM"/>
  </numFmts>
  <fonts count="4" x14ac:knownFonts="1">
    <font>
      <sz val="10"/>
      <color rgb="FF000000"/>
      <name val="Arial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9"/>
  <sheetViews>
    <sheetView tabSelected="1" workbookViewId="0">
      <pane ySplit="1" topLeftCell="A89" activePane="bottomLeft" state="frozen"/>
      <selection pane="bottomLeft" activeCell="F20" sqref="F20"/>
    </sheetView>
  </sheetViews>
  <sheetFormatPr baseColWidth="10" defaultColWidth="12.6640625" defaultRowHeight="15.75" customHeight="1" x14ac:dyDescent="0.15"/>
  <cols>
    <col min="1" max="1" width="6.33203125" customWidth="1"/>
    <col min="2" max="2" width="28.83203125" customWidth="1"/>
    <col min="3" max="3" width="15.1640625" customWidth="1"/>
    <col min="5" max="5" width="22.6640625" customWidth="1"/>
    <col min="6" max="6" width="15.1640625" customWidth="1"/>
    <col min="8" max="8" width="13.83203125" customWidth="1"/>
    <col min="11" max="11" width="31.33203125" customWidth="1"/>
  </cols>
  <sheetData>
    <row r="1" spans="1:26" ht="15.75" customHeight="1" x14ac:dyDescent="0.15">
      <c r="A1" s="1" t="s">
        <v>2</v>
      </c>
      <c r="B1" s="1" t="s">
        <v>4</v>
      </c>
      <c r="C1" s="1" t="s">
        <v>0</v>
      </c>
      <c r="D1" s="4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7</v>
      </c>
      <c r="K1" s="1" t="s">
        <v>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3" t="s">
        <v>10</v>
      </c>
      <c r="B2" s="3" t="s">
        <v>11</v>
      </c>
      <c r="C2" s="2">
        <v>46070</v>
      </c>
      <c r="D2" s="5">
        <v>0.32708333333333334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15">
      <c r="A3" s="3" t="s">
        <v>18</v>
      </c>
      <c r="B3" s="3" t="s">
        <v>19</v>
      </c>
      <c r="C3" s="2">
        <v>46070</v>
      </c>
      <c r="D3" s="5">
        <v>0.35972222222222222</v>
      </c>
      <c r="E3" s="3" t="s">
        <v>20</v>
      </c>
      <c r="F3" s="3" t="s">
        <v>13</v>
      </c>
      <c r="G3" s="3" t="s">
        <v>14</v>
      </c>
      <c r="H3" s="3" t="s">
        <v>15</v>
      </c>
      <c r="I3" s="3" t="s">
        <v>16</v>
      </c>
      <c r="J3" s="3" t="s">
        <v>17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3" t="s">
        <v>21</v>
      </c>
      <c r="B4" s="3" t="s">
        <v>22</v>
      </c>
      <c r="C4" s="2">
        <v>46070</v>
      </c>
      <c r="D4" s="5">
        <v>0.37222222222222223</v>
      </c>
      <c r="E4" s="3" t="s">
        <v>20</v>
      </c>
      <c r="F4" s="3" t="s">
        <v>13</v>
      </c>
      <c r="G4" s="3" t="s">
        <v>23</v>
      </c>
      <c r="H4" s="3" t="s">
        <v>24</v>
      </c>
      <c r="I4" s="3" t="s">
        <v>25</v>
      </c>
      <c r="J4" s="3" t="s">
        <v>26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3" t="s">
        <v>27</v>
      </c>
      <c r="B5" s="3" t="s">
        <v>22</v>
      </c>
      <c r="C5" s="2">
        <v>46070</v>
      </c>
      <c r="D5" s="5">
        <v>0.40208333333333335</v>
      </c>
      <c r="E5" s="3" t="s">
        <v>28</v>
      </c>
      <c r="F5" s="3" t="s">
        <v>13</v>
      </c>
      <c r="G5" s="3" t="s">
        <v>23</v>
      </c>
      <c r="H5" s="3" t="s">
        <v>24</v>
      </c>
      <c r="I5" s="3" t="s">
        <v>29</v>
      </c>
      <c r="J5" s="3" t="s">
        <v>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3" t="s">
        <v>30</v>
      </c>
      <c r="B6" s="3" t="s">
        <v>22</v>
      </c>
      <c r="C6" s="2">
        <v>46070</v>
      </c>
      <c r="D6" s="5">
        <v>0.52638888888888891</v>
      </c>
      <c r="E6" s="3" t="s">
        <v>31</v>
      </c>
      <c r="F6" s="3" t="s">
        <v>13</v>
      </c>
      <c r="G6" s="3" t="s">
        <v>23</v>
      </c>
      <c r="H6" s="3" t="s">
        <v>24</v>
      </c>
      <c r="I6" s="3" t="s">
        <v>25</v>
      </c>
      <c r="J6" s="3" t="s">
        <v>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3" t="s">
        <v>32</v>
      </c>
      <c r="B7" s="3" t="s">
        <v>22</v>
      </c>
      <c r="C7" s="2">
        <v>46070</v>
      </c>
      <c r="D7" s="5">
        <v>0.74791666666666667</v>
      </c>
      <c r="E7" s="3" t="s">
        <v>33</v>
      </c>
      <c r="F7" s="3" t="s">
        <v>13</v>
      </c>
      <c r="G7" s="3" t="s">
        <v>23</v>
      </c>
      <c r="H7" s="3" t="s">
        <v>34</v>
      </c>
      <c r="I7" s="3" t="s">
        <v>16</v>
      </c>
      <c r="J7" s="3" t="s">
        <v>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3" t="s">
        <v>36</v>
      </c>
      <c r="B8" s="3" t="s">
        <v>37</v>
      </c>
      <c r="C8" s="2">
        <v>46071</v>
      </c>
      <c r="D8" s="5">
        <v>0.45069444444444445</v>
      </c>
      <c r="E8" s="3" t="s">
        <v>38</v>
      </c>
      <c r="F8" s="3" t="s">
        <v>39</v>
      </c>
      <c r="G8" s="3" t="s">
        <v>23</v>
      </c>
      <c r="H8" s="3" t="s">
        <v>15</v>
      </c>
      <c r="I8" s="3" t="s">
        <v>25</v>
      </c>
      <c r="J8" s="3" t="s">
        <v>40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3" t="s">
        <v>41</v>
      </c>
      <c r="B9" s="3" t="s">
        <v>42</v>
      </c>
      <c r="C9" s="2">
        <v>46071</v>
      </c>
      <c r="D9" s="5">
        <v>0.45069444444444445</v>
      </c>
      <c r="E9" s="3" t="s">
        <v>38</v>
      </c>
      <c r="F9" s="3" t="s">
        <v>39</v>
      </c>
      <c r="G9" s="3" t="s">
        <v>23</v>
      </c>
      <c r="H9" s="3" t="s">
        <v>15</v>
      </c>
      <c r="I9" s="3" t="s">
        <v>25</v>
      </c>
      <c r="J9" s="3" t="s">
        <v>40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3" t="s">
        <v>43</v>
      </c>
      <c r="B10" s="3" t="s">
        <v>44</v>
      </c>
      <c r="C10" s="2">
        <v>46071</v>
      </c>
      <c r="D10" s="5">
        <v>0.45069444444444445</v>
      </c>
      <c r="E10" s="3" t="s">
        <v>38</v>
      </c>
      <c r="F10" s="3" t="s">
        <v>39</v>
      </c>
      <c r="G10" s="3" t="s">
        <v>23</v>
      </c>
      <c r="H10" s="3" t="s">
        <v>15</v>
      </c>
      <c r="I10" s="3" t="s">
        <v>25</v>
      </c>
      <c r="J10" s="3" t="s">
        <v>40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3" t="s">
        <v>45</v>
      </c>
      <c r="B11" s="3" t="s">
        <v>46</v>
      </c>
      <c r="C11" s="2">
        <v>46071</v>
      </c>
      <c r="D11" s="5">
        <v>0.45069444444444445</v>
      </c>
      <c r="E11" s="3" t="s">
        <v>38</v>
      </c>
      <c r="F11" s="3" t="s">
        <v>39</v>
      </c>
      <c r="G11" s="3" t="s">
        <v>23</v>
      </c>
      <c r="H11" s="3" t="s">
        <v>15</v>
      </c>
      <c r="I11" s="3" t="s">
        <v>25</v>
      </c>
      <c r="J11" s="3" t="s">
        <v>40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3" t="s">
        <v>47</v>
      </c>
      <c r="B12" s="3" t="s">
        <v>48</v>
      </c>
      <c r="C12" s="2">
        <v>46071</v>
      </c>
      <c r="D12" s="5">
        <v>0.45069444444444445</v>
      </c>
      <c r="E12" s="3" t="s">
        <v>38</v>
      </c>
      <c r="F12" s="3" t="s">
        <v>39</v>
      </c>
      <c r="G12" s="3" t="s">
        <v>49</v>
      </c>
      <c r="H12" s="3" t="s">
        <v>50</v>
      </c>
      <c r="I12" s="3" t="s">
        <v>25</v>
      </c>
      <c r="J12" s="3" t="s">
        <v>51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3" t="s">
        <v>52</v>
      </c>
      <c r="B13" s="3" t="s">
        <v>53</v>
      </c>
      <c r="C13" s="2">
        <v>46071</v>
      </c>
      <c r="D13" s="5">
        <v>0.45069444444444445</v>
      </c>
      <c r="E13" s="3" t="s">
        <v>38</v>
      </c>
      <c r="F13" s="3" t="s">
        <v>39</v>
      </c>
      <c r="G13" s="3" t="s">
        <v>23</v>
      </c>
      <c r="H13" s="3" t="s">
        <v>15</v>
      </c>
      <c r="I13" s="3" t="s">
        <v>25</v>
      </c>
      <c r="J13" s="3" t="s">
        <v>40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3" t="s">
        <v>54</v>
      </c>
      <c r="B14" s="3" t="s">
        <v>55</v>
      </c>
      <c r="C14" s="2">
        <v>46071</v>
      </c>
      <c r="D14" s="5">
        <v>0.45069444444444445</v>
      </c>
      <c r="E14" s="3" t="s">
        <v>38</v>
      </c>
      <c r="F14" s="3" t="s">
        <v>39</v>
      </c>
      <c r="G14" s="3" t="s">
        <v>14</v>
      </c>
      <c r="H14" s="3" t="s">
        <v>15</v>
      </c>
      <c r="I14" s="3" t="s">
        <v>25</v>
      </c>
      <c r="J14" s="3" t="s">
        <v>56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3" t="s">
        <v>57</v>
      </c>
      <c r="B15" s="3" t="s">
        <v>58</v>
      </c>
      <c r="C15" s="2">
        <v>46071</v>
      </c>
      <c r="D15" s="5">
        <v>0.45069444444444445</v>
      </c>
      <c r="E15" s="3" t="s">
        <v>38</v>
      </c>
      <c r="F15" s="3" t="s">
        <v>39</v>
      </c>
      <c r="G15" s="3" t="s">
        <v>14</v>
      </c>
      <c r="H15" s="3" t="s">
        <v>15</v>
      </c>
      <c r="I15" s="3" t="s">
        <v>25</v>
      </c>
      <c r="J15" s="3" t="s">
        <v>56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 s="3" t="s">
        <v>59</v>
      </c>
      <c r="B16" s="3" t="s">
        <v>60</v>
      </c>
      <c r="C16" s="2">
        <v>46071</v>
      </c>
      <c r="D16" s="5">
        <v>0.45069444444444445</v>
      </c>
      <c r="E16" s="3" t="s">
        <v>38</v>
      </c>
      <c r="F16" s="3" t="s">
        <v>39</v>
      </c>
      <c r="G16" s="3" t="s">
        <v>61</v>
      </c>
      <c r="H16" s="3" t="s">
        <v>34</v>
      </c>
      <c r="I16" s="3" t="s">
        <v>25</v>
      </c>
      <c r="J16" s="3" t="s">
        <v>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15">
      <c r="A17" s="3" t="s">
        <v>63</v>
      </c>
      <c r="B17" s="3" t="s">
        <v>64</v>
      </c>
      <c r="C17" s="2">
        <v>46071</v>
      </c>
      <c r="D17" s="5">
        <v>0.54652777777777772</v>
      </c>
      <c r="E17" s="3" t="s">
        <v>65</v>
      </c>
      <c r="F17" s="3" t="s">
        <v>39</v>
      </c>
      <c r="G17" s="3" t="s">
        <v>61</v>
      </c>
      <c r="H17" s="3" t="s">
        <v>34</v>
      </c>
      <c r="I17" s="3" t="s">
        <v>16</v>
      </c>
      <c r="J17" s="3" t="s">
        <v>66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 s="3" t="s">
        <v>67</v>
      </c>
      <c r="B18" s="3" t="s">
        <v>22</v>
      </c>
      <c r="C18" s="2">
        <v>46071</v>
      </c>
      <c r="D18" s="5">
        <v>0.65763888888888888</v>
      </c>
      <c r="E18" s="3" t="s">
        <v>68</v>
      </c>
      <c r="F18" s="3" t="s">
        <v>13</v>
      </c>
      <c r="G18" s="3" t="s">
        <v>14</v>
      </c>
      <c r="H18" s="3" t="s">
        <v>15</v>
      </c>
      <c r="I18" s="3" t="s">
        <v>69</v>
      </c>
      <c r="J18" s="3" t="s">
        <v>70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15">
      <c r="A19" s="3" t="s">
        <v>71</v>
      </c>
      <c r="B19" s="3" t="s">
        <v>22</v>
      </c>
      <c r="C19" s="2">
        <v>46072</v>
      </c>
      <c r="D19" s="5">
        <v>0.44236111111111109</v>
      </c>
      <c r="E19" s="3" t="s">
        <v>72</v>
      </c>
      <c r="F19" s="3" t="s">
        <v>13</v>
      </c>
      <c r="G19" s="3" t="s">
        <v>23</v>
      </c>
      <c r="H19" s="3" t="s">
        <v>24</v>
      </c>
      <c r="I19" s="3" t="s">
        <v>25</v>
      </c>
      <c r="J19" s="3" t="s">
        <v>26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15">
      <c r="A20" s="3" t="s">
        <v>73</v>
      </c>
      <c r="B20" s="3" t="s">
        <v>74</v>
      </c>
      <c r="C20" s="2">
        <v>46072</v>
      </c>
      <c r="D20" s="5">
        <v>0.45555555555555555</v>
      </c>
      <c r="E20" s="3" t="s">
        <v>75</v>
      </c>
      <c r="F20" s="3" t="s">
        <v>76</v>
      </c>
      <c r="G20" s="3" t="s">
        <v>61</v>
      </c>
      <c r="H20" s="3" t="s">
        <v>34</v>
      </c>
      <c r="I20" s="3" t="s">
        <v>16</v>
      </c>
      <c r="J20" s="3" t="s">
        <v>77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3" t="s">
        <v>78</v>
      </c>
      <c r="B21" s="3" t="s">
        <v>79</v>
      </c>
      <c r="C21" s="2">
        <v>46072</v>
      </c>
      <c r="D21" s="5">
        <v>0.45555555555555555</v>
      </c>
      <c r="E21" s="3" t="s">
        <v>75</v>
      </c>
      <c r="F21" s="3" t="s">
        <v>76</v>
      </c>
      <c r="G21" s="3" t="s">
        <v>49</v>
      </c>
      <c r="H21" s="3" t="s">
        <v>34</v>
      </c>
      <c r="I21" s="3" t="s">
        <v>16</v>
      </c>
      <c r="J21" s="3" t="s">
        <v>80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3" t="s">
        <v>81</v>
      </c>
      <c r="B22" s="3" t="s">
        <v>82</v>
      </c>
      <c r="C22" s="2">
        <v>46072</v>
      </c>
      <c r="D22" s="5">
        <v>0.45555555555555555</v>
      </c>
      <c r="E22" s="3" t="s">
        <v>75</v>
      </c>
      <c r="F22" s="3" t="s">
        <v>76</v>
      </c>
      <c r="G22" s="3" t="s">
        <v>61</v>
      </c>
      <c r="H22" s="3" t="s">
        <v>34</v>
      </c>
      <c r="I22" s="3" t="s">
        <v>25</v>
      </c>
      <c r="J22" s="3" t="s">
        <v>83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3" t="s">
        <v>84</v>
      </c>
      <c r="B23" s="3" t="s">
        <v>85</v>
      </c>
      <c r="C23" s="2">
        <v>46072</v>
      </c>
      <c r="D23" s="5">
        <v>0.45555555555555555</v>
      </c>
      <c r="E23" s="3" t="s">
        <v>75</v>
      </c>
      <c r="F23" s="3" t="s">
        <v>76</v>
      </c>
      <c r="G23" s="3" t="s">
        <v>49</v>
      </c>
      <c r="H23" s="3" t="s">
        <v>34</v>
      </c>
      <c r="I23" s="3" t="s">
        <v>25</v>
      </c>
      <c r="J23" s="3" t="s">
        <v>86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3" t="s">
        <v>87</v>
      </c>
      <c r="B24" s="3" t="s">
        <v>88</v>
      </c>
      <c r="C24" s="2">
        <v>46072</v>
      </c>
      <c r="D24" s="5">
        <v>0.45555555555555555</v>
      </c>
      <c r="E24" s="3" t="s">
        <v>75</v>
      </c>
      <c r="F24" s="3" t="s">
        <v>76</v>
      </c>
      <c r="G24" s="3" t="s">
        <v>61</v>
      </c>
      <c r="H24" s="3" t="s">
        <v>15</v>
      </c>
      <c r="I24" s="3" t="s">
        <v>16</v>
      </c>
      <c r="J24" s="3" t="s">
        <v>89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3" t="s">
        <v>90</v>
      </c>
      <c r="B25" s="3" t="s">
        <v>91</v>
      </c>
      <c r="C25" s="2">
        <v>46072</v>
      </c>
      <c r="D25" s="5">
        <v>0.45555555555555555</v>
      </c>
      <c r="E25" s="3" t="s">
        <v>75</v>
      </c>
      <c r="F25" s="3" t="s">
        <v>76</v>
      </c>
      <c r="G25" s="3" t="s">
        <v>49</v>
      </c>
      <c r="H25" s="3" t="s">
        <v>34</v>
      </c>
      <c r="I25" s="3" t="s">
        <v>25</v>
      </c>
      <c r="J25" s="3" t="s">
        <v>92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3" t="s">
        <v>93</v>
      </c>
      <c r="B26" s="3" t="s">
        <v>94</v>
      </c>
      <c r="C26" s="2">
        <v>46072</v>
      </c>
      <c r="D26" s="5">
        <v>0.45555555555555555</v>
      </c>
      <c r="E26" s="3" t="s">
        <v>75</v>
      </c>
      <c r="F26" s="3" t="s">
        <v>76</v>
      </c>
      <c r="G26" s="3" t="s">
        <v>49</v>
      </c>
      <c r="H26" s="3" t="s">
        <v>34</v>
      </c>
      <c r="I26" s="3" t="s">
        <v>25</v>
      </c>
      <c r="J26" s="3" t="s">
        <v>95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3" t="s">
        <v>96</v>
      </c>
      <c r="B27" s="3" t="s">
        <v>97</v>
      </c>
      <c r="C27" s="2">
        <v>46072</v>
      </c>
      <c r="D27" s="5">
        <v>0.45555555555555555</v>
      </c>
      <c r="E27" s="3" t="s">
        <v>75</v>
      </c>
      <c r="F27" s="3" t="s">
        <v>76</v>
      </c>
      <c r="G27" s="3" t="s">
        <v>61</v>
      </c>
      <c r="H27" s="3" t="s">
        <v>34</v>
      </c>
      <c r="I27" s="3" t="s">
        <v>25</v>
      </c>
      <c r="J27" s="3" t="s">
        <v>98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3" t="s">
        <v>99</v>
      </c>
      <c r="B28" s="3" t="s">
        <v>100</v>
      </c>
      <c r="C28" s="2">
        <v>46072</v>
      </c>
      <c r="D28" s="5">
        <v>0.45555555555555555</v>
      </c>
      <c r="E28" s="3" t="s">
        <v>75</v>
      </c>
      <c r="F28" s="3" t="s">
        <v>76</v>
      </c>
      <c r="G28" s="3" t="s">
        <v>61</v>
      </c>
      <c r="H28" s="3" t="s">
        <v>34</v>
      </c>
      <c r="I28" s="3" t="s">
        <v>25</v>
      </c>
      <c r="J28" s="3" t="s">
        <v>101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3" t="s">
        <v>102</v>
      </c>
      <c r="B29" s="3" t="s">
        <v>103</v>
      </c>
      <c r="C29" s="2">
        <v>46072</v>
      </c>
      <c r="D29" s="5">
        <v>0.45555555555555555</v>
      </c>
      <c r="E29" s="3" t="s">
        <v>75</v>
      </c>
      <c r="F29" s="3" t="s">
        <v>76</v>
      </c>
      <c r="G29" s="3" t="s">
        <v>49</v>
      </c>
      <c r="H29" s="3" t="s">
        <v>34</v>
      </c>
      <c r="I29" s="3" t="s">
        <v>16</v>
      </c>
      <c r="J29" s="3" t="s">
        <v>104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3" t="s">
        <v>105</v>
      </c>
      <c r="B30" s="3" t="s">
        <v>106</v>
      </c>
      <c r="C30" s="2">
        <v>46072</v>
      </c>
      <c r="D30" s="5">
        <v>0.45555555555555555</v>
      </c>
      <c r="E30" s="3" t="s">
        <v>75</v>
      </c>
      <c r="F30" s="3" t="s">
        <v>76</v>
      </c>
      <c r="G30" s="3" t="s">
        <v>49</v>
      </c>
      <c r="H30" s="3" t="s">
        <v>34</v>
      </c>
      <c r="I30" s="3" t="s">
        <v>25</v>
      </c>
      <c r="J30" s="3" t="s">
        <v>107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 t="s">
        <v>108</v>
      </c>
      <c r="B31" s="3" t="s">
        <v>109</v>
      </c>
      <c r="C31" s="2">
        <v>46072</v>
      </c>
      <c r="D31" s="5">
        <v>0.45555555555555555</v>
      </c>
      <c r="E31" s="3" t="s">
        <v>75</v>
      </c>
      <c r="F31" s="3" t="s">
        <v>76</v>
      </c>
      <c r="G31" s="3" t="s">
        <v>61</v>
      </c>
      <c r="H31" s="3" t="s">
        <v>34</v>
      </c>
      <c r="I31" s="3" t="s">
        <v>16</v>
      </c>
      <c r="J31" s="3" t="s">
        <v>110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 t="s">
        <v>111</v>
      </c>
      <c r="B32" s="3" t="s">
        <v>112</v>
      </c>
      <c r="C32" s="2">
        <v>46072</v>
      </c>
      <c r="D32" s="5">
        <v>0.45555555555555555</v>
      </c>
      <c r="E32" s="3" t="s">
        <v>75</v>
      </c>
      <c r="F32" s="3" t="s">
        <v>76</v>
      </c>
      <c r="G32" s="3" t="s">
        <v>61</v>
      </c>
      <c r="H32" s="3" t="s">
        <v>34</v>
      </c>
      <c r="I32" s="3" t="s">
        <v>25</v>
      </c>
      <c r="J32" s="3" t="s">
        <v>113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 t="s">
        <v>114</v>
      </c>
      <c r="B33" s="3" t="s">
        <v>115</v>
      </c>
      <c r="C33" s="2">
        <v>46072</v>
      </c>
      <c r="D33" s="5">
        <v>0.45555555555555555</v>
      </c>
      <c r="E33" s="3" t="s">
        <v>75</v>
      </c>
      <c r="F33" s="3" t="s">
        <v>76</v>
      </c>
      <c r="G33" s="3" t="s">
        <v>14</v>
      </c>
      <c r="H33" s="3" t="s">
        <v>34</v>
      </c>
      <c r="I33" s="3" t="s">
        <v>16</v>
      </c>
      <c r="J33" s="3" t="s">
        <v>116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 t="s">
        <v>117</v>
      </c>
      <c r="B34" s="3" t="s">
        <v>118</v>
      </c>
      <c r="C34" s="2">
        <v>46072</v>
      </c>
      <c r="D34" s="5">
        <v>0.4777777777777778</v>
      </c>
      <c r="E34" s="3" t="s">
        <v>119</v>
      </c>
      <c r="F34" s="3" t="s">
        <v>76</v>
      </c>
      <c r="G34" s="3" t="s">
        <v>49</v>
      </c>
      <c r="H34" s="3" t="s">
        <v>34</v>
      </c>
      <c r="I34" s="3" t="s">
        <v>25</v>
      </c>
      <c r="J34" s="3" t="s">
        <v>120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 t="s">
        <v>121</v>
      </c>
      <c r="B35" s="3" t="s">
        <v>122</v>
      </c>
      <c r="C35" s="2">
        <v>46072</v>
      </c>
      <c r="D35" s="5">
        <v>0.4777777777777778</v>
      </c>
      <c r="E35" s="3" t="s">
        <v>119</v>
      </c>
      <c r="F35" s="3" t="s">
        <v>76</v>
      </c>
      <c r="G35" s="3" t="s">
        <v>49</v>
      </c>
      <c r="H35" s="3" t="s">
        <v>34</v>
      </c>
      <c r="I35" s="3" t="s">
        <v>25</v>
      </c>
      <c r="J35" s="3" t="s">
        <v>123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 t="s">
        <v>124</v>
      </c>
      <c r="B36" s="3" t="s">
        <v>125</v>
      </c>
      <c r="C36" s="2">
        <v>46072</v>
      </c>
      <c r="D36" s="5">
        <v>0.4777777777777778</v>
      </c>
      <c r="E36" s="3" t="s">
        <v>119</v>
      </c>
      <c r="F36" s="3" t="s">
        <v>76</v>
      </c>
      <c r="G36" s="3" t="s">
        <v>49</v>
      </c>
      <c r="H36" s="3" t="s">
        <v>34</v>
      </c>
      <c r="I36" s="3" t="s">
        <v>25</v>
      </c>
      <c r="J36" s="3" t="s">
        <v>126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 t="s">
        <v>127</v>
      </c>
      <c r="B37" s="3" t="s">
        <v>128</v>
      </c>
      <c r="C37" s="2">
        <v>46072</v>
      </c>
      <c r="D37" s="5">
        <v>0.4777777777777778</v>
      </c>
      <c r="E37" s="3" t="s">
        <v>119</v>
      </c>
      <c r="F37" s="3" t="s">
        <v>76</v>
      </c>
      <c r="G37" s="3" t="s">
        <v>49</v>
      </c>
      <c r="H37" s="3" t="s">
        <v>34</v>
      </c>
      <c r="I37" s="3" t="s">
        <v>25</v>
      </c>
      <c r="J37" s="3" t="s">
        <v>129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 t="s">
        <v>130</v>
      </c>
      <c r="B38" s="3" t="s">
        <v>131</v>
      </c>
      <c r="C38" s="2">
        <v>46072</v>
      </c>
      <c r="D38" s="5">
        <v>0.4777777777777778</v>
      </c>
      <c r="E38" s="3" t="s">
        <v>119</v>
      </c>
      <c r="F38" s="3" t="s">
        <v>76</v>
      </c>
      <c r="G38" s="3" t="s">
        <v>49</v>
      </c>
      <c r="H38" s="3" t="s">
        <v>34</v>
      </c>
      <c r="I38" s="3" t="s">
        <v>25</v>
      </c>
      <c r="J38" s="3" t="s">
        <v>126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 t="s">
        <v>132</v>
      </c>
      <c r="B39" s="3" t="s">
        <v>133</v>
      </c>
      <c r="C39" s="2">
        <v>46072</v>
      </c>
      <c r="D39" s="5">
        <v>0.4777777777777778</v>
      </c>
      <c r="E39" s="3" t="s">
        <v>119</v>
      </c>
      <c r="F39" s="3" t="s">
        <v>76</v>
      </c>
      <c r="G39" s="3" t="s">
        <v>49</v>
      </c>
      <c r="H39" s="3" t="s">
        <v>34</v>
      </c>
      <c r="I39" s="3" t="s">
        <v>25</v>
      </c>
      <c r="J39" s="3" t="s">
        <v>134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 t="s">
        <v>135</v>
      </c>
      <c r="B40" s="3" t="s">
        <v>136</v>
      </c>
      <c r="C40" s="2">
        <v>46072</v>
      </c>
      <c r="D40" s="5">
        <v>0.4777777777777778</v>
      </c>
      <c r="E40" s="3" t="s">
        <v>119</v>
      </c>
      <c r="F40" s="3" t="s">
        <v>76</v>
      </c>
      <c r="G40" s="3" t="s">
        <v>49</v>
      </c>
      <c r="H40" s="3" t="s">
        <v>137</v>
      </c>
      <c r="I40" s="3" t="s">
        <v>25</v>
      </c>
      <c r="J40" s="3" t="s">
        <v>104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 t="s">
        <v>138</v>
      </c>
      <c r="B41" s="3" t="s">
        <v>139</v>
      </c>
      <c r="C41" s="2">
        <v>46072</v>
      </c>
      <c r="D41" s="5">
        <v>0.51944444444444449</v>
      </c>
      <c r="E41" s="3" t="s">
        <v>140</v>
      </c>
      <c r="F41" s="3" t="s">
        <v>76</v>
      </c>
      <c r="G41" s="3" t="s">
        <v>61</v>
      </c>
      <c r="H41" s="3" t="s">
        <v>50</v>
      </c>
      <c r="I41" s="3" t="s">
        <v>25</v>
      </c>
      <c r="J41" s="3" t="s">
        <v>141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 t="s">
        <v>142</v>
      </c>
      <c r="B42" s="3" t="s">
        <v>143</v>
      </c>
      <c r="C42" s="2">
        <v>46072</v>
      </c>
      <c r="D42" s="5">
        <v>0.51944444444444449</v>
      </c>
      <c r="E42" s="3" t="s">
        <v>140</v>
      </c>
      <c r="F42" s="3" t="s">
        <v>76</v>
      </c>
      <c r="G42" s="3" t="s">
        <v>49</v>
      </c>
      <c r="H42" s="3" t="s">
        <v>34</v>
      </c>
      <c r="I42" s="3" t="s">
        <v>25</v>
      </c>
      <c r="J42" s="3" t="s">
        <v>144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 t="s">
        <v>145</v>
      </c>
      <c r="B43" s="3" t="s">
        <v>146</v>
      </c>
      <c r="C43" s="2">
        <v>46072</v>
      </c>
      <c r="D43" s="5">
        <v>0.51944444444444449</v>
      </c>
      <c r="E43" s="3" t="s">
        <v>140</v>
      </c>
      <c r="F43" s="3" t="s">
        <v>76</v>
      </c>
      <c r="G43" s="3" t="s">
        <v>49</v>
      </c>
      <c r="H43" s="3" t="s">
        <v>34</v>
      </c>
      <c r="I43" s="3" t="s">
        <v>25</v>
      </c>
      <c r="J43" s="3" t="s">
        <v>147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 t="s">
        <v>148</v>
      </c>
      <c r="B44" s="3" t="s">
        <v>149</v>
      </c>
      <c r="C44" s="2">
        <v>46072</v>
      </c>
      <c r="D44" s="5">
        <v>0.51944444444444449</v>
      </c>
      <c r="E44" s="3" t="s">
        <v>140</v>
      </c>
      <c r="F44" s="3" t="s">
        <v>76</v>
      </c>
      <c r="G44" s="3" t="s">
        <v>49</v>
      </c>
      <c r="H44" s="3" t="s">
        <v>137</v>
      </c>
      <c r="I44" s="3" t="s">
        <v>25</v>
      </c>
      <c r="J44" s="3" t="s">
        <v>150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 t="s">
        <v>151</v>
      </c>
      <c r="B45" s="3" t="s">
        <v>152</v>
      </c>
      <c r="C45" s="2">
        <v>46072</v>
      </c>
      <c r="D45" s="5">
        <v>0.51944444444444449</v>
      </c>
      <c r="E45" s="3" t="s">
        <v>140</v>
      </c>
      <c r="F45" s="3" t="s">
        <v>76</v>
      </c>
      <c r="G45" s="3" t="s">
        <v>49</v>
      </c>
      <c r="H45" s="3" t="s">
        <v>34</v>
      </c>
      <c r="I45" s="3" t="s">
        <v>25</v>
      </c>
      <c r="J45" s="3" t="s">
        <v>126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 t="s">
        <v>153</v>
      </c>
      <c r="B46" s="3" t="s">
        <v>154</v>
      </c>
      <c r="C46" s="2">
        <v>46072</v>
      </c>
      <c r="D46" s="5">
        <v>0.51944444444444449</v>
      </c>
      <c r="E46" s="3" t="s">
        <v>140</v>
      </c>
      <c r="F46" s="3" t="s">
        <v>76</v>
      </c>
      <c r="G46" s="3" t="s">
        <v>49</v>
      </c>
      <c r="H46" s="3" t="s">
        <v>34</v>
      </c>
      <c r="I46" s="3" t="s">
        <v>25</v>
      </c>
      <c r="J46" s="3" t="s">
        <v>155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" x14ac:dyDescent="0.15">
      <c r="A47" s="3" t="s">
        <v>156</v>
      </c>
      <c r="B47" s="3" t="s">
        <v>157</v>
      </c>
      <c r="C47" s="2">
        <v>46072</v>
      </c>
      <c r="D47" s="5">
        <v>0.51944444444444449</v>
      </c>
      <c r="E47" s="3" t="s">
        <v>140</v>
      </c>
      <c r="F47" s="3" t="s">
        <v>76</v>
      </c>
      <c r="G47" s="3" t="s">
        <v>49</v>
      </c>
      <c r="H47" s="3" t="s">
        <v>34</v>
      </c>
      <c r="I47" s="3" t="s">
        <v>25</v>
      </c>
      <c r="J47" s="3" t="s">
        <v>158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" x14ac:dyDescent="0.15">
      <c r="A48" s="3" t="s">
        <v>159</v>
      </c>
      <c r="B48" s="3" t="s">
        <v>160</v>
      </c>
      <c r="C48" s="2">
        <v>46072</v>
      </c>
      <c r="D48" s="5">
        <v>0.51944444444444449</v>
      </c>
      <c r="E48" s="3" t="s">
        <v>140</v>
      </c>
      <c r="F48" s="3" t="s">
        <v>76</v>
      </c>
      <c r="G48" s="3" t="s">
        <v>49</v>
      </c>
      <c r="H48" s="3" t="s">
        <v>34</v>
      </c>
      <c r="I48" s="3" t="s">
        <v>25</v>
      </c>
      <c r="J48" s="3" t="s">
        <v>161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" x14ac:dyDescent="0.15">
      <c r="A49" s="3" t="s">
        <v>162</v>
      </c>
      <c r="B49" s="3" t="s">
        <v>163</v>
      </c>
      <c r="C49" s="2">
        <v>46072</v>
      </c>
      <c r="D49" s="5">
        <v>0.51944444444444449</v>
      </c>
      <c r="E49" s="3" t="s">
        <v>140</v>
      </c>
      <c r="F49" s="3" t="s">
        <v>76</v>
      </c>
      <c r="G49" s="3" t="s">
        <v>49</v>
      </c>
      <c r="H49" s="3" t="s">
        <v>34</v>
      </c>
      <c r="I49" s="3" t="s">
        <v>25</v>
      </c>
      <c r="J49" s="3" t="s">
        <v>164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8" x14ac:dyDescent="0.15">
      <c r="A50" s="3" t="s">
        <v>165</v>
      </c>
      <c r="B50" s="3" t="s">
        <v>166</v>
      </c>
      <c r="C50" s="2">
        <v>46072</v>
      </c>
      <c r="D50" s="5">
        <v>0.51944444444444449</v>
      </c>
      <c r="E50" s="3" t="s">
        <v>140</v>
      </c>
      <c r="F50" s="3" t="s">
        <v>76</v>
      </c>
      <c r="G50" s="3" t="s">
        <v>49</v>
      </c>
      <c r="H50" s="3" t="s">
        <v>34</v>
      </c>
      <c r="I50" s="3" t="s">
        <v>25</v>
      </c>
      <c r="J50" s="3" t="s">
        <v>167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8" x14ac:dyDescent="0.15">
      <c r="A51" s="3" t="s">
        <v>168</v>
      </c>
      <c r="B51" s="3" t="s">
        <v>169</v>
      </c>
      <c r="C51" s="2">
        <v>46072</v>
      </c>
      <c r="D51" s="5">
        <v>0.51944444444444449</v>
      </c>
      <c r="E51" s="3" t="s">
        <v>140</v>
      </c>
      <c r="F51" s="3" t="s">
        <v>76</v>
      </c>
      <c r="G51" s="3" t="s">
        <v>61</v>
      </c>
      <c r="H51" s="3" t="s">
        <v>34</v>
      </c>
      <c r="I51" s="3" t="s">
        <v>25</v>
      </c>
      <c r="J51" s="3" t="s">
        <v>170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" x14ac:dyDescent="0.15">
      <c r="A52" s="3" t="s">
        <v>171</v>
      </c>
      <c r="B52" s="3" t="s">
        <v>22</v>
      </c>
      <c r="C52" s="2">
        <v>46072</v>
      </c>
      <c r="D52" s="5">
        <v>0.63124999999999998</v>
      </c>
      <c r="E52" s="3" t="s">
        <v>172</v>
      </c>
      <c r="F52" s="3" t="s">
        <v>13</v>
      </c>
      <c r="G52" s="3" t="s">
        <v>23</v>
      </c>
      <c r="H52" s="3" t="s">
        <v>24</v>
      </c>
      <c r="I52" s="3" t="s">
        <v>16</v>
      </c>
      <c r="J52" s="3" t="s">
        <v>26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" x14ac:dyDescent="0.15">
      <c r="A53" s="3" t="s">
        <v>173</v>
      </c>
      <c r="B53" s="3" t="s">
        <v>22</v>
      </c>
      <c r="C53" s="2">
        <v>46072</v>
      </c>
      <c r="D53" s="5">
        <v>0.64375000000000004</v>
      </c>
      <c r="E53" s="3" t="s">
        <v>174</v>
      </c>
      <c r="F53" s="3" t="s">
        <v>13</v>
      </c>
      <c r="G53" s="3" t="s">
        <v>23</v>
      </c>
      <c r="H53" s="3" t="s">
        <v>24</v>
      </c>
      <c r="I53" s="3" t="s">
        <v>25</v>
      </c>
      <c r="J53" s="3" t="s">
        <v>26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" x14ac:dyDescent="0.15">
      <c r="A54" s="3" t="s">
        <v>175</v>
      </c>
      <c r="B54" s="3" t="s">
        <v>176</v>
      </c>
      <c r="C54" s="2">
        <v>46073</v>
      </c>
      <c r="D54" s="5">
        <v>0.45277777777777778</v>
      </c>
      <c r="E54" s="3" t="s">
        <v>177</v>
      </c>
      <c r="F54" s="3" t="s">
        <v>13</v>
      </c>
      <c r="G54" s="3" t="s">
        <v>14</v>
      </c>
      <c r="H54" s="3" t="s">
        <v>15</v>
      </c>
      <c r="I54" s="3" t="s">
        <v>16</v>
      </c>
      <c r="J54" s="3" t="s">
        <v>70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" x14ac:dyDescent="0.15">
      <c r="A55" s="3" t="s">
        <v>178</v>
      </c>
      <c r="B55" s="3" t="s">
        <v>179</v>
      </c>
      <c r="C55" s="2">
        <v>46073</v>
      </c>
      <c r="D55" s="5">
        <v>0.45277777777777778</v>
      </c>
      <c r="E55" s="3" t="s">
        <v>177</v>
      </c>
      <c r="F55" s="3" t="s">
        <v>13</v>
      </c>
      <c r="G55" s="3" t="s">
        <v>49</v>
      </c>
      <c r="H55" s="3" t="s">
        <v>137</v>
      </c>
      <c r="I55" s="3" t="s">
        <v>16</v>
      </c>
      <c r="J55" s="3" t="s">
        <v>180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" x14ac:dyDescent="0.15">
      <c r="A56" s="3" t="s">
        <v>181</v>
      </c>
      <c r="B56" s="3" t="s">
        <v>182</v>
      </c>
      <c r="C56" s="2">
        <v>46073</v>
      </c>
      <c r="D56" s="5">
        <v>0.47708333333333336</v>
      </c>
      <c r="E56" s="3" t="s">
        <v>183</v>
      </c>
      <c r="F56" s="3" t="s">
        <v>184</v>
      </c>
      <c r="G56" s="3" t="s">
        <v>14</v>
      </c>
      <c r="H56" s="3" t="s">
        <v>50</v>
      </c>
      <c r="I56" s="3" t="s">
        <v>16</v>
      </c>
      <c r="J56" s="3" t="s">
        <v>185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" x14ac:dyDescent="0.15">
      <c r="A57" s="3" t="s">
        <v>186</v>
      </c>
      <c r="B57" s="3" t="s">
        <v>187</v>
      </c>
      <c r="C57" s="2">
        <v>46073</v>
      </c>
      <c r="D57" s="5">
        <v>0.47708333333333336</v>
      </c>
      <c r="E57" s="3" t="s">
        <v>183</v>
      </c>
      <c r="F57" s="3" t="s">
        <v>184</v>
      </c>
      <c r="G57" s="3" t="s">
        <v>61</v>
      </c>
      <c r="H57" s="3" t="s">
        <v>34</v>
      </c>
      <c r="I57" s="3" t="s">
        <v>16</v>
      </c>
      <c r="J57" s="3" t="s">
        <v>188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" x14ac:dyDescent="0.15">
      <c r="A58" s="3" t="s">
        <v>189</v>
      </c>
      <c r="B58" s="3" t="s">
        <v>190</v>
      </c>
      <c r="C58" s="2">
        <v>46073</v>
      </c>
      <c r="D58" s="5">
        <v>0.62430555555555556</v>
      </c>
      <c r="E58" s="3" t="s">
        <v>191</v>
      </c>
      <c r="F58" s="3" t="s">
        <v>39</v>
      </c>
      <c r="G58" s="3" t="s">
        <v>61</v>
      </c>
      <c r="H58" s="3" t="s">
        <v>15</v>
      </c>
      <c r="I58" s="3" t="s">
        <v>16</v>
      </c>
      <c r="J58" s="3" t="s">
        <v>192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" x14ac:dyDescent="0.15">
      <c r="A59" s="3" t="s">
        <v>193</v>
      </c>
      <c r="B59" s="3" t="s">
        <v>194</v>
      </c>
      <c r="C59" s="2">
        <v>46073</v>
      </c>
      <c r="D59" s="5">
        <v>0.62430555555555556</v>
      </c>
      <c r="E59" s="3" t="s">
        <v>191</v>
      </c>
      <c r="F59" s="3" t="s">
        <v>39</v>
      </c>
      <c r="G59" s="3" t="s">
        <v>61</v>
      </c>
      <c r="H59" s="3" t="s">
        <v>15</v>
      </c>
      <c r="I59" s="3" t="s">
        <v>16</v>
      </c>
      <c r="J59" s="3" t="s">
        <v>192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" x14ac:dyDescent="0.15">
      <c r="A60" s="3" t="s">
        <v>195</v>
      </c>
      <c r="B60" s="3" t="s">
        <v>196</v>
      </c>
      <c r="C60" s="2">
        <v>46073</v>
      </c>
      <c r="D60" s="5">
        <v>0.62430555555555556</v>
      </c>
      <c r="E60" s="3" t="s">
        <v>191</v>
      </c>
      <c r="F60" s="3" t="s">
        <v>39</v>
      </c>
      <c r="G60" s="3" t="s">
        <v>61</v>
      </c>
      <c r="H60" s="3" t="s">
        <v>15</v>
      </c>
      <c r="I60" s="3" t="s">
        <v>16</v>
      </c>
      <c r="J60" s="3" t="s">
        <v>192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" x14ac:dyDescent="0.15">
      <c r="A61" s="3" t="s">
        <v>197</v>
      </c>
      <c r="B61" s="3" t="s">
        <v>198</v>
      </c>
      <c r="C61" s="2">
        <v>46073</v>
      </c>
      <c r="D61" s="5">
        <v>0.62430555555555556</v>
      </c>
      <c r="E61" s="3" t="s">
        <v>191</v>
      </c>
      <c r="F61" s="3" t="s">
        <v>39</v>
      </c>
      <c r="G61" s="3" t="s">
        <v>61</v>
      </c>
      <c r="H61" s="3" t="s">
        <v>15</v>
      </c>
      <c r="I61" s="3" t="s">
        <v>16</v>
      </c>
      <c r="J61" s="3" t="s">
        <v>192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" x14ac:dyDescent="0.15">
      <c r="A62" s="3" t="s">
        <v>199</v>
      </c>
      <c r="B62" s="3" t="s">
        <v>200</v>
      </c>
      <c r="C62" s="2">
        <v>46073</v>
      </c>
      <c r="D62" s="5">
        <v>0.62430555555555556</v>
      </c>
      <c r="E62" s="3" t="s">
        <v>191</v>
      </c>
      <c r="F62" s="3" t="s">
        <v>39</v>
      </c>
      <c r="G62" s="3" t="s">
        <v>61</v>
      </c>
      <c r="H62" s="3" t="s">
        <v>15</v>
      </c>
      <c r="I62" s="3" t="s">
        <v>16</v>
      </c>
      <c r="J62" s="3" t="s">
        <v>192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" x14ac:dyDescent="0.15">
      <c r="A63" s="3" t="s">
        <v>201</v>
      </c>
      <c r="B63" s="3" t="s">
        <v>202</v>
      </c>
      <c r="C63" s="2">
        <v>46073</v>
      </c>
      <c r="D63" s="5">
        <v>0.62430555555555556</v>
      </c>
      <c r="E63" s="3" t="s">
        <v>191</v>
      </c>
      <c r="F63" s="3" t="s">
        <v>39</v>
      </c>
      <c r="G63" s="3" t="s">
        <v>61</v>
      </c>
      <c r="H63" s="3" t="s">
        <v>15</v>
      </c>
      <c r="I63" s="3" t="s">
        <v>16</v>
      </c>
      <c r="J63" s="3" t="s">
        <v>192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" x14ac:dyDescent="0.15">
      <c r="A64" s="3" t="s">
        <v>203</v>
      </c>
      <c r="B64" s="3" t="s">
        <v>204</v>
      </c>
      <c r="C64" s="2">
        <v>46073</v>
      </c>
      <c r="D64" s="5">
        <v>0.62430555555555556</v>
      </c>
      <c r="E64" s="3" t="s">
        <v>191</v>
      </c>
      <c r="F64" s="3" t="s">
        <v>39</v>
      </c>
      <c r="G64" s="3" t="s">
        <v>61</v>
      </c>
      <c r="H64" s="3" t="s">
        <v>15</v>
      </c>
      <c r="I64" s="3" t="s">
        <v>16</v>
      </c>
      <c r="J64" s="3" t="s">
        <v>192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" x14ac:dyDescent="0.15">
      <c r="A65" s="3" t="s">
        <v>205</v>
      </c>
      <c r="B65" s="3" t="s">
        <v>206</v>
      </c>
      <c r="C65" s="2">
        <v>46073</v>
      </c>
      <c r="D65" s="5">
        <v>0.62430555555555556</v>
      </c>
      <c r="E65" s="3" t="s">
        <v>191</v>
      </c>
      <c r="F65" s="3" t="s">
        <v>39</v>
      </c>
      <c r="G65" s="3" t="s">
        <v>61</v>
      </c>
      <c r="H65" s="3" t="s">
        <v>15</v>
      </c>
      <c r="I65" s="3" t="s">
        <v>16</v>
      </c>
      <c r="J65" s="3" t="s">
        <v>192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" x14ac:dyDescent="0.15">
      <c r="A66" s="3" t="s">
        <v>207</v>
      </c>
      <c r="B66" s="3" t="s">
        <v>208</v>
      </c>
      <c r="C66" s="2">
        <v>46073</v>
      </c>
      <c r="D66" s="5">
        <v>0.62430555555555556</v>
      </c>
      <c r="E66" s="3" t="s">
        <v>191</v>
      </c>
      <c r="F66" s="3" t="s">
        <v>39</v>
      </c>
      <c r="G66" s="3" t="s">
        <v>61</v>
      </c>
      <c r="H66" s="3" t="s">
        <v>15</v>
      </c>
      <c r="I66" s="3" t="s">
        <v>16</v>
      </c>
      <c r="J66" s="3" t="s">
        <v>192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" x14ac:dyDescent="0.15">
      <c r="A67" s="3" t="s">
        <v>209</v>
      </c>
      <c r="B67" s="3" t="s">
        <v>210</v>
      </c>
      <c r="C67" s="2">
        <v>46073</v>
      </c>
      <c r="D67" s="5">
        <v>0.62430555555555556</v>
      </c>
      <c r="E67" s="3" t="s">
        <v>191</v>
      </c>
      <c r="F67" s="3" t="s">
        <v>39</v>
      </c>
      <c r="G67" s="3" t="s">
        <v>61</v>
      </c>
      <c r="H67" s="3" t="s">
        <v>15</v>
      </c>
      <c r="I67" s="3" t="s">
        <v>16</v>
      </c>
      <c r="J67" s="3" t="s">
        <v>192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" x14ac:dyDescent="0.15">
      <c r="A68" s="3" t="s">
        <v>211</v>
      </c>
      <c r="B68" s="3" t="s">
        <v>212</v>
      </c>
      <c r="C68" s="2">
        <v>46073</v>
      </c>
      <c r="D68" s="5">
        <v>0.62430555555555556</v>
      </c>
      <c r="E68" s="3" t="s">
        <v>191</v>
      </c>
      <c r="F68" s="3" t="s">
        <v>39</v>
      </c>
      <c r="G68" s="3" t="s">
        <v>61</v>
      </c>
      <c r="H68" s="3" t="s">
        <v>15</v>
      </c>
      <c r="I68" s="3" t="s">
        <v>16</v>
      </c>
      <c r="J68" s="3" t="s">
        <v>192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" x14ac:dyDescent="0.15">
      <c r="A69" s="3" t="s">
        <v>213</v>
      </c>
      <c r="B69" s="3" t="s">
        <v>214</v>
      </c>
      <c r="C69" s="2">
        <v>46073</v>
      </c>
      <c r="D69" s="5">
        <v>0.625</v>
      </c>
      <c r="E69" s="3" t="s">
        <v>191</v>
      </c>
      <c r="F69" s="3" t="s">
        <v>39</v>
      </c>
      <c r="G69" s="3" t="s">
        <v>49</v>
      </c>
      <c r="H69" s="3" t="s">
        <v>34</v>
      </c>
      <c r="I69" s="3" t="s">
        <v>25</v>
      </c>
      <c r="J69" s="3" t="s">
        <v>215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" x14ac:dyDescent="0.15">
      <c r="A70" s="3" t="s">
        <v>216</v>
      </c>
      <c r="B70" s="3" t="s">
        <v>217</v>
      </c>
      <c r="C70" s="2">
        <v>46073</v>
      </c>
      <c r="D70" s="5">
        <v>0.625</v>
      </c>
      <c r="E70" s="3" t="s">
        <v>191</v>
      </c>
      <c r="F70" s="3" t="s">
        <v>39</v>
      </c>
      <c r="G70" s="3" t="s">
        <v>49</v>
      </c>
      <c r="H70" s="3" t="s">
        <v>34</v>
      </c>
      <c r="I70" s="3" t="s">
        <v>25</v>
      </c>
      <c r="J70" s="3" t="s">
        <v>215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" x14ac:dyDescent="0.15">
      <c r="A71" s="3" t="s">
        <v>218</v>
      </c>
      <c r="B71" s="3" t="s">
        <v>219</v>
      </c>
      <c r="C71" s="2">
        <v>46073</v>
      </c>
      <c r="D71" s="5">
        <v>0.625</v>
      </c>
      <c r="E71" s="3" t="s">
        <v>191</v>
      </c>
      <c r="F71" s="3" t="s">
        <v>39</v>
      </c>
      <c r="G71" s="3" t="s">
        <v>49</v>
      </c>
      <c r="H71" s="3" t="s">
        <v>15</v>
      </c>
      <c r="I71" s="3" t="s">
        <v>25</v>
      </c>
      <c r="J71" s="3" t="s">
        <v>220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" x14ac:dyDescent="0.15">
      <c r="A72" s="3" t="s">
        <v>221</v>
      </c>
      <c r="B72" s="3" t="s">
        <v>222</v>
      </c>
      <c r="C72" s="2">
        <v>46073</v>
      </c>
      <c r="D72" s="5">
        <v>0.625</v>
      </c>
      <c r="E72" s="3" t="s">
        <v>191</v>
      </c>
      <c r="F72" s="3" t="s">
        <v>39</v>
      </c>
      <c r="G72" s="3" t="s">
        <v>49</v>
      </c>
      <c r="H72" s="3" t="s">
        <v>15</v>
      </c>
      <c r="I72" s="3" t="s">
        <v>25</v>
      </c>
      <c r="J72" s="3" t="s">
        <v>220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" x14ac:dyDescent="0.15">
      <c r="A73" s="3" t="s">
        <v>223</v>
      </c>
      <c r="B73" s="3" t="s">
        <v>224</v>
      </c>
      <c r="C73" s="2">
        <v>46074</v>
      </c>
      <c r="D73" s="5">
        <v>0.49722222222222223</v>
      </c>
      <c r="E73" s="3" t="s">
        <v>225</v>
      </c>
      <c r="F73" s="3" t="s">
        <v>226</v>
      </c>
      <c r="G73" s="3" t="s">
        <v>23</v>
      </c>
      <c r="H73" s="3" t="s">
        <v>50</v>
      </c>
      <c r="I73" s="3" t="s">
        <v>227</v>
      </c>
      <c r="J73" s="3" t="s">
        <v>228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" x14ac:dyDescent="0.15">
      <c r="A74" s="3" t="s">
        <v>229</v>
      </c>
      <c r="B74" s="3" t="s">
        <v>230</v>
      </c>
      <c r="C74" s="2">
        <v>46074</v>
      </c>
      <c r="D74" s="5">
        <v>0.49722222222222223</v>
      </c>
      <c r="E74" s="3" t="s">
        <v>225</v>
      </c>
      <c r="F74" s="3" t="s">
        <v>226</v>
      </c>
      <c r="G74" s="3" t="s">
        <v>23</v>
      </c>
      <c r="H74" s="3" t="s">
        <v>34</v>
      </c>
      <c r="I74" s="3" t="s">
        <v>231</v>
      </c>
      <c r="J74" s="3" t="s">
        <v>232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" x14ac:dyDescent="0.15">
      <c r="A75" s="3" t="s">
        <v>233</v>
      </c>
      <c r="B75" s="3" t="s">
        <v>234</v>
      </c>
      <c r="C75" s="2">
        <v>46074</v>
      </c>
      <c r="D75" s="5">
        <v>0.6166666666666667</v>
      </c>
      <c r="E75" s="3" t="s">
        <v>235</v>
      </c>
      <c r="F75" s="3" t="s">
        <v>226</v>
      </c>
      <c r="G75" s="3" t="s">
        <v>61</v>
      </c>
      <c r="H75" s="3" t="s">
        <v>34</v>
      </c>
      <c r="I75" s="3" t="s">
        <v>25</v>
      </c>
      <c r="J75" s="3" t="s">
        <v>236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" x14ac:dyDescent="0.15">
      <c r="A76" s="3" t="s">
        <v>237</v>
      </c>
      <c r="B76" s="3" t="s">
        <v>238</v>
      </c>
      <c r="C76" s="2">
        <v>46074</v>
      </c>
      <c r="D76" s="5">
        <v>0.6166666666666667</v>
      </c>
      <c r="E76" s="3" t="s">
        <v>235</v>
      </c>
      <c r="F76" s="3" t="s">
        <v>226</v>
      </c>
      <c r="G76" s="3" t="s">
        <v>61</v>
      </c>
      <c r="H76" s="3" t="s">
        <v>137</v>
      </c>
      <c r="I76" s="3" t="s">
        <v>25</v>
      </c>
      <c r="J76" s="3" t="s">
        <v>192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" x14ac:dyDescent="0.15">
      <c r="A77" s="3" t="s">
        <v>239</v>
      </c>
      <c r="B77" s="3" t="s">
        <v>240</v>
      </c>
      <c r="C77" s="2">
        <v>46074</v>
      </c>
      <c r="D77" s="5">
        <v>0.6166666666666667</v>
      </c>
      <c r="E77" s="3" t="s">
        <v>235</v>
      </c>
      <c r="F77" s="3" t="s">
        <v>226</v>
      </c>
      <c r="G77" s="3" t="s">
        <v>61</v>
      </c>
      <c r="H77" s="3" t="s">
        <v>34</v>
      </c>
      <c r="I77" s="3" t="s">
        <v>25</v>
      </c>
      <c r="J77" s="3" t="s">
        <v>236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" x14ac:dyDescent="0.15">
      <c r="A78" s="3" t="s">
        <v>241</v>
      </c>
      <c r="B78" s="3" t="s">
        <v>242</v>
      </c>
      <c r="C78" s="2">
        <v>46074</v>
      </c>
      <c r="D78" s="5">
        <v>0.6166666666666667</v>
      </c>
      <c r="E78" s="3" t="s">
        <v>235</v>
      </c>
      <c r="F78" s="3" t="s">
        <v>226</v>
      </c>
      <c r="G78" s="3" t="s">
        <v>61</v>
      </c>
      <c r="H78" s="3" t="s">
        <v>34</v>
      </c>
      <c r="I78" s="3" t="s">
        <v>25</v>
      </c>
      <c r="J78" s="3" t="s">
        <v>236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" x14ac:dyDescent="0.15">
      <c r="A79" s="3" t="s">
        <v>243</v>
      </c>
      <c r="B79" s="3" t="s">
        <v>244</v>
      </c>
      <c r="C79" s="2">
        <v>46074</v>
      </c>
      <c r="D79" s="5">
        <v>0.6166666666666667</v>
      </c>
      <c r="E79" s="3" t="s">
        <v>235</v>
      </c>
      <c r="F79" s="3" t="s">
        <v>226</v>
      </c>
      <c r="G79" s="3" t="s">
        <v>61</v>
      </c>
      <c r="H79" s="3" t="s">
        <v>137</v>
      </c>
      <c r="I79" s="3" t="s">
        <v>25</v>
      </c>
      <c r="J79" s="3" t="s">
        <v>192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" x14ac:dyDescent="0.15">
      <c r="A80" s="3" t="s">
        <v>245</v>
      </c>
      <c r="B80" s="3" t="s">
        <v>246</v>
      </c>
      <c r="C80" s="2">
        <v>46074</v>
      </c>
      <c r="D80" s="5">
        <v>0.61875000000000002</v>
      </c>
      <c r="E80" s="3" t="s">
        <v>235</v>
      </c>
      <c r="F80" s="3" t="s">
        <v>226</v>
      </c>
      <c r="G80" s="3" t="s">
        <v>61</v>
      </c>
      <c r="H80" s="3" t="s">
        <v>34</v>
      </c>
      <c r="I80" s="3" t="s">
        <v>25</v>
      </c>
      <c r="J80" s="3" t="s">
        <v>247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" x14ac:dyDescent="0.15">
      <c r="A81" s="3" t="s">
        <v>248</v>
      </c>
      <c r="B81" s="3" t="s">
        <v>249</v>
      </c>
      <c r="C81" s="2">
        <v>46074</v>
      </c>
      <c r="D81" s="5">
        <v>0.61875000000000002</v>
      </c>
      <c r="E81" s="3" t="s">
        <v>235</v>
      </c>
      <c r="F81" s="3" t="s">
        <v>226</v>
      </c>
      <c r="G81" s="3" t="s">
        <v>61</v>
      </c>
      <c r="H81" s="3" t="s">
        <v>34</v>
      </c>
      <c r="I81" s="3" t="s">
        <v>25</v>
      </c>
      <c r="J81" s="3" t="s">
        <v>236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" x14ac:dyDescent="0.15">
      <c r="A82" s="3" t="s">
        <v>250</v>
      </c>
      <c r="B82" s="3" t="s">
        <v>251</v>
      </c>
      <c r="C82" s="2">
        <v>46074</v>
      </c>
      <c r="D82" s="5">
        <v>0.61875000000000002</v>
      </c>
      <c r="E82" s="3" t="s">
        <v>235</v>
      </c>
      <c r="F82" s="3" t="s">
        <v>226</v>
      </c>
      <c r="G82" s="3" t="s">
        <v>61</v>
      </c>
      <c r="H82" s="3" t="s">
        <v>34</v>
      </c>
      <c r="I82" s="3" t="s">
        <v>25</v>
      </c>
      <c r="J82" s="3" t="s">
        <v>236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" x14ac:dyDescent="0.15">
      <c r="A83" s="3" t="s">
        <v>252</v>
      </c>
      <c r="B83" s="3" t="s">
        <v>253</v>
      </c>
      <c r="C83" s="2">
        <v>46074</v>
      </c>
      <c r="D83" s="5">
        <v>0.61875000000000002</v>
      </c>
      <c r="E83" s="3" t="s">
        <v>235</v>
      </c>
      <c r="F83" s="3" t="s">
        <v>226</v>
      </c>
      <c r="G83" s="3" t="s">
        <v>61</v>
      </c>
      <c r="H83" s="3" t="s">
        <v>34</v>
      </c>
      <c r="I83" s="3" t="s">
        <v>25</v>
      </c>
      <c r="J83" s="3" t="s">
        <v>236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" x14ac:dyDescent="0.15">
      <c r="A84" s="3" t="s">
        <v>254</v>
      </c>
      <c r="B84" s="3" t="s">
        <v>255</v>
      </c>
      <c r="C84" s="2">
        <v>46074</v>
      </c>
      <c r="D84" s="5">
        <v>0.61875000000000002</v>
      </c>
      <c r="E84" s="3" t="s">
        <v>235</v>
      </c>
      <c r="F84" s="3" t="s">
        <v>226</v>
      </c>
      <c r="G84" s="3" t="s">
        <v>61</v>
      </c>
      <c r="H84" s="3" t="s">
        <v>34</v>
      </c>
      <c r="I84" s="3" t="s">
        <v>25</v>
      </c>
      <c r="J84" s="3" t="s">
        <v>236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" x14ac:dyDescent="0.15">
      <c r="A85" s="3" t="s">
        <v>256</v>
      </c>
      <c r="B85" s="3" t="s">
        <v>257</v>
      </c>
      <c r="C85" s="2">
        <v>46074</v>
      </c>
      <c r="D85" s="5">
        <v>0.62083333333333335</v>
      </c>
      <c r="E85" s="3" t="s">
        <v>235</v>
      </c>
      <c r="F85" s="3" t="s">
        <v>226</v>
      </c>
      <c r="G85" s="3" t="s">
        <v>61</v>
      </c>
      <c r="H85" s="3" t="s">
        <v>137</v>
      </c>
      <c r="I85" s="3" t="s">
        <v>69</v>
      </c>
      <c r="J85" s="3" t="s">
        <v>258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" x14ac:dyDescent="0.15">
      <c r="A86" s="3" t="s">
        <v>259</v>
      </c>
      <c r="B86" s="3" t="s">
        <v>260</v>
      </c>
      <c r="C86" s="2">
        <v>46074</v>
      </c>
      <c r="D86" s="5">
        <v>0.62291666666666667</v>
      </c>
      <c r="E86" s="3" t="s">
        <v>235</v>
      </c>
      <c r="F86" s="3" t="s">
        <v>226</v>
      </c>
      <c r="G86" s="3" t="s">
        <v>61</v>
      </c>
      <c r="H86" s="3" t="s">
        <v>137</v>
      </c>
      <c r="I86" s="3" t="s">
        <v>69</v>
      </c>
      <c r="J86" s="3" t="s">
        <v>261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" x14ac:dyDescent="0.15">
      <c r="A87" s="3" t="s">
        <v>262</v>
      </c>
      <c r="B87" s="3" t="s">
        <v>263</v>
      </c>
      <c r="C87" s="2">
        <v>46074</v>
      </c>
      <c r="D87" s="5">
        <v>0.62291666666666667</v>
      </c>
      <c r="E87" s="3" t="s">
        <v>235</v>
      </c>
      <c r="F87" s="3" t="s">
        <v>226</v>
      </c>
      <c r="G87" s="3" t="s">
        <v>61</v>
      </c>
      <c r="H87" s="3" t="s">
        <v>34</v>
      </c>
      <c r="I87" s="3" t="s">
        <v>69</v>
      </c>
      <c r="J87" s="3" t="s">
        <v>264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" x14ac:dyDescent="0.15">
      <c r="A88" s="3" t="s">
        <v>265</v>
      </c>
      <c r="B88" s="3" t="s">
        <v>266</v>
      </c>
      <c r="C88" s="2">
        <v>46074</v>
      </c>
      <c r="D88" s="5">
        <v>0.62291666666666667</v>
      </c>
      <c r="E88" s="3" t="s">
        <v>235</v>
      </c>
      <c r="F88" s="3" t="s">
        <v>226</v>
      </c>
      <c r="G88" s="3" t="s">
        <v>23</v>
      </c>
      <c r="H88" s="3" t="s">
        <v>50</v>
      </c>
      <c r="I88" s="3" t="s">
        <v>16</v>
      </c>
      <c r="J88" s="3" t="s">
        <v>267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" x14ac:dyDescent="0.15">
      <c r="A89" s="3" t="s">
        <v>268</v>
      </c>
      <c r="B89" s="3" t="s">
        <v>22</v>
      </c>
      <c r="C89" s="2">
        <v>46074</v>
      </c>
      <c r="D89" s="5">
        <v>0.63958333333333328</v>
      </c>
      <c r="E89" s="3" t="s">
        <v>269</v>
      </c>
      <c r="F89" s="3" t="s">
        <v>13</v>
      </c>
      <c r="G89" s="3" t="s">
        <v>23</v>
      </c>
      <c r="H89" s="3" t="s">
        <v>24</v>
      </c>
      <c r="I89" s="3" t="s">
        <v>29</v>
      </c>
      <c r="J89" s="3" t="s">
        <v>26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" x14ac:dyDescent="0.15">
      <c r="A90" s="3" t="s">
        <v>270</v>
      </c>
      <c r="B90" s="3" t="s">
        <v>271</v>
      </c>
      <c r="C90" s="2">
        <v>46074</v>
      </c>
      <c r="D90" s="5">
        <v>0.65625</v>
      </c>
      <c r="E90" s="3" t="s">
        <v>272</v>
      </c>
      <c r="F90" s="3" t="s">
        <v>273</v>
      </c>
      <c r="G90" s="3" t="s">
        <v>49</v>
      </c>
      <c r="H90" s="3" t="s">
        <v>50</v>
      </c>
      <c r="I90" s="3" t="s">
        <v>16</v>
      </c>
      <c r="J90" s="3" t="s">
        <v>274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" x14ac:dyDescent="0.15">
      <c r="A91" s="3" t="s">
        <v>275</v>
      </c>
      <c r="B91" s="3" t="s">
        <v>276</v>
      </c>
      <c r="C91" s="2">
        <v>46074</v>
      </c>
      <c r="D91" s="5">
        <v>0.65625</v>
      </c>
      <c r="E91" s="3" t="s">
        <v>272</v>
      </c>
      <c r="F91" s="3" t="s">
        <v>273</v>
      </c>
      <c r="G91" s="3" t="s">
        <v>49</v>
      </c>
      <c r="H91" s="3" t="s">
        <v>50</v>
      </c>
      <c r="I91" s="3" t="s">
        <v>16</v>
      </c>
      <c r="J91" s="3" t="s">
        <v>274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" x14ac:dyDescent="0.15">
      <c r="A92" s="3" t="s">
        <v>277</v>
      </c>
      <c r="B92" s="3" t="s">
        <v>278</v>
      </c>
      <c r="C92" s="2">
        <v>46074</v>
      </c>
      <c r="D92" s="5">
        <v>0.65625</v>
      </c>
      <c r="E92" s="3" t="s">
        <v>272</v>
      </c>
      <c r="F92" s="3" t="s">
        <v>273</v>
      </c>
      <c r="G92" s="3" t="s">
        <v>49</v>
      </c>
      <c r="H92" s="3" t="s">
        <v>15</v>
      </c>
      <c r="I92" s="3" t="s">
        <v>16</v>
      </c>
      <c r="J92" s="3" t="s">
        <v>104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" x14ac:dyDescent="0.15">
      <c r="A94" s="3"/>
      <c r="B94" s="6" t="s">
        <v>279</v>
      </c>
      <c r="C94" s="6" t="s">
        <v>280</v>
      </c>
      <c r="D94" s="6" t="s">
        <v>281</v>
      </c>
      <c r="E94" s="6" t="s">
        <v>6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" x14ac:dyDescent="0.15">
      <c r="A95" s="3"/>
      <c r="B95" s="10" t="s">
        <v>6</v>
      </c>
      <c r="C95" s="7">
        <f t="shared" ref="C95:C100" si="0">COUNTIF(F:F,E95)</f>
        <v>13</v>
      </c>
      <c r="D95" s="8">
        <f t="shared" ref="D95:D100" si="1">C95/SUM($C$95:$C$100)</f>
        <v>0.14285714285714285</v>
      </c>
      <c r="E95" s="7" t="s">
        <v>13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" x14ac:dyDescent="0.15">
      <c r="A96" s="3"/>
      <c r="B96" s="11"/>
      <c r="C96" s="7">
        <f t="shared" si="0"/>
        <v>25</v>
      </c>
      <c r="D96" s="8">
        <f t="shared" si="1"/>
        <v>0.27472527472527475</v>
      </c>
      <c r="E96" s="7" t="s">
        <v>39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" x14ac:dyDescent="0.15">
      <c r="A97" s="3"/>
      <c r="B97" s="11"/>
      <c r="C97" s="7">
        <f t="shared" si="0"/>
        <v>32</v>
      </c>
      <c r="D97" s="8">
        <f t="shared" si="1"/>
        <v>0.35164835164835168</v>
      </c>
      <c r="E97" s="7" t="s">
        <v>76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" x14ac:dyDescent="0.15">
      <c r="A98" s="3"/>
      <c r="B98" s="11"/>
      <c r="C98" s="7">
        <f t="shared" si="0"/>
        <v>2</v>
      </c>
      <c r="D98" s="8">
        <f t="shared" si="1"/>
        <v>2.197802197802198E-2</v>
      </c>
      <c r="E98" s="7" t="s">
        <v>184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" x14ac:dyDescent="0.15">
      <c r="A99" s="3"/>
      <c r="B99" s="11"/>
      <c r="C99" s="7">
        <f t="shared" si="0"/>
        <v>16</v>
      </c>
      <c r="D99" s="8">
        <f t="shared" si="1"/>
        <v>0.17582417582417584</v>
      </c>
      <c r="E99" s="7" t="s">
        <v>226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" x14ac:dyDescent="0.15">
      <c r="A100" s="3"/>
      <c r="B100" s="12"/>
      <c r="C100" s="7">
        <f t="shared" si="0"/>
        <v>3</v>
      </c>
      <c r="D100" s="8">
        <f t="shared" si="1"/>
        <v>3.2967032967032968E-2</v>
      </c>
      <c r="E100" s="7" t="s">
        <v>273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" x14ac:dyDescent="0.15">
      <c r="A101" s="3"/>
      <c r="B101" s="10" t="s">
        <v>7</v>
      </c>
      <c r="C101" s="7">
        <f t="shared" ref="C101:C104" si="2">COUNTIF(G:G,E101)</f>
        <v>31</v>
      </c>
      <c r="D101" s="8">
        <f t="shared" ref="D101:D104" si="3">C101/SUM($C$101:$C$104)</f>
        <v>0.34065934065934067</v>
      </c>
      <c r="E101" s="7" t="s">
        <v>49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" x14ac:dyDescent="0.15">
      <c r="A102" s="3"/>
      <c r="B102" s="11"/>
      <c r="C102" s="7">
        <f t="shared" si="2"/>
        <v>36</v>
      </c>
      <c r="D102" s="8">
        <f t="shared" si="3"/>
        <v>0.39560439560439559</v>
      </c>
      <c r="E102" s="7" t="s">
        <v>61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" x14ac:dyDescent="0.15">
      <c r="A103" s="3"/>
      <c r="B103" s="11"/>
      <c r="C103" s="7">
        <f t="shared" si="2"/>
        <v>8</v>
      </c>
      <c r="D103" s="8">
        <f t="shared" si="3"/>
        <v>8.7912087912087919E-2</v>
      </c>
      <c r="E103" s="7" t="s">
        <v>14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" x14ac:dyDescent="0.15">
      <c r="A104" s="3"/>
      <c r="B104" s="12"/>
      <c r="C104" s="7">
        <f t="shared" si="2"/>
        <v>16</v>
      </c>
      <c r="D104" s="8">
        <f t="shared" si="3"/>
        <v>0.17582417582417584</v>
      </c>
      <c r="E104" s="7" t="s">
        <v>23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" x14ac:dyDescent="0.15">
      <c r="A105" s="3"/>
      <c r="B105" s="10" t="s">
        <v>8</v>
      </c>
      <c r="C105" s="7">
        <f t="shared" ref="C105:C109" si="4">COUNTIF(H:H,E105)</f>
        <v>26</v>
      </c>
      <c r="D105" s="8">
        <f t="shared" ref="D105:D109" si="5">C105/SUM($C$105:$C$109)</f>
        <v>0.2857142857142857</v>
      </c>
      <c r="E105" s="7" t="s">
        <v>15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" x14ac:dyDescent="0.15">
      <c r="A106" s="3"/>
      <c r="B106" s="11"/>
      <c r="C106" s="7">
        <f t="shared" si="4"/>
        <v>7</v>
      </c>
      <c r="D106" s="8">
        <f t="shared" si="5"/>
        <v>7.6923076923076927E-2</v>
      </c>
      <c r="E106" s="7" t="s">
        <v>24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" x14ac:dyDescent="0.15">
      <c r="A107" s="3"/>
      <c r="B107" s="11"/>
      <c r="C107" s="7">
        <f t="shared" si="4"/>
        <v>7</v>
      </c>
      <c r="D107" s="8">
        <f t="shared" si="5"/>
        <v>7.6923076923076927E-2</v>
      </c>
      <c r="E107" s="7" t="s">
        <v>50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" x14ac:dyDescent="0.15">
      <c r="A108" s="3"/>
      <c r="B108" s="11"/>
      <c r="C108" s="7">
        <f t="shared" si="4"/>
        <v>7</v>
      </c>
      <c r="D108" s="8">
        <f t="shared" si="5"/>
        <v>7.6923076923076927E-2</v>
      </c>
      <c r="E108" s="7" t="s">
        <v>137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" x14ac:dyDescent="0.15">
      <c r="A109" s="3"/>
      <c r="B109" s="12"/>
      <c r="C109" s="7">
        <f t="shared" si="4"/>
        <v>44</v>
      </c>
      <c r="D109" s="8">
        <f t="shared" si="5"/>
        <v>0.48351648351648352</v>
      </c>
      <c r="E109" s="7" t="s">
        <v>34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" x14ac:dyDescent="0.15">
      <c r="A110" s="3"/>
      <c r="B110" s="10" t="s">
        <v>9</v>
      </c>
      <c r="C110" s="7">
        <f t="shared" ref="C110:C115" si="6">COUNTIF(I:I,E110)</f>
        <v>30</v>
      </c>
      <c r="D110" s="8">
        <f t="shared" ref="D110:D115" si="7">C110/SUM($C$110:$C$115)</f>
        <v>0.32967032967032966</v>
      </c>
      <c r="E110" s="7" t="s">
        <v>16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" x14ac:dyDescent="0.15">
      <c r="A111" s="3"/>
      <c r="B111" s="11"/>
      <c r="C111" s="7">
        <f t="shared" si="6"/>
        <v>2</v>
      </c>
      <c r="D111" s="8">
        <f t="shared" si="7"/>
        <v>2.197802197802198E-2</v>
      </c>
      <c r="E111" s="7" t="s">
        <v>29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" x14ac:dyDescent="0.15">
      <c r="A112" s="3"/>
      <c r="B112" s="11"/>
      <c r="C112" s="7">
        <f t="shared" si="6"/>
        <v>4</v>
      </c>
      <c r="D112" s="8">
        <f t="shared" si="7"/>
        <v>4.3956043956043959E-2</v>
      </c>
      <c r="E112" s="7" t="s">
        <v>69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" x14ac:dyDescent="0.15">
      <c r="A113" s="3"/>
      <c r="B113" s="11"/>
      <c r="C113" s="7">
        <f t="shared" si="6"/>
        <v>53</v>
      </c>
      <c r="D113" s="8">
        <f t="shared" si="7"/>
        <v>0.58241758241758246</v>
      </c>
      <c r="E113" s="7" t="s">
        <v>25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" x14ac:dyDescent="0.15">
      <c r="A114" s="3"/>
      <c r="B114" s="11"/>
      <c r="C114" s="7">
        <f t="shared" si="6"/>
        <v>1</v>
      </c>
      <c r="D114" s="8">
        <f t="shared" si="7"/>
        <v>1.098901098901099E-2</v>
      </c>
      <c r="E114" s="7" t="s">
        <v>231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" x14ac:dyDescent="0.15">
      <c r="A115" s="3"/>
      <c r="B115" s="12"/>
      <c r="C115" s="7">
        <f t="shared" si="6"/>
        <v>1</v>
      </c>
      <c r="D115" s="8">
        <f t="shared" si="7"/>
        <v>1.098901098901099E-2</v>
      </c>
      <c r="E115" s="7" t="s">
        <v>227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10" t="s">
        <v>282</v>
      </c>
      <c r="C116" s="7">
        <f t="shared" ref="C116:C117" si="8">COUNTIF(C2:C92,E116)</f>
        <v>6</v>
      </c>
      <c r="D116" s="8">
        <f t="shared" ref="D116:D120" si="9">C116/SUM($C$116:$C$120)</f>
        <v>6.5934065934065936E-2</v>
      </c>
      <c r="E116" s="9">
        <v>46070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11"/>
      <c r="C117" s="7">
        <f t="shared" si="8"/>
        <v>11</v>
      </c>
      <c r="D117" s="8">
        <f t="shared" si="9"/>
        <v>0.12087912087912088</v>
      </c>
      <c r="E117" s="9">
        <v>46071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11"/>
      <c r="C118" s="7">
        <f>COUNTIF(C2:C92,E118)</f>
        <v>35</v>
      </c>
      <c r="D118" s="8">
        <f t="shared" si="9"/>
        <v>0.38461538461538464</v>
      </c>
      <c r="E118" s="9">
        <v>46072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11"/>
      <c r="C119" s="7">
        <f t="shared" ref="C119:C120" si="10">COUNTIF(C5:C95,E119)</f>
        <v>19</v>
      </c>
      <c r="D119" s="8">
        <f t="shared" si="9"/>
        <v>0.2087912087912088</v>
      </c>
      <c r="E119" s="9">
        <v>46073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12"/>
      <c r="C120" s="7">
        <f t="shared" si="10"/>
        <v>20</v>
      </c>
      <c r="D120" s="8">
        <f t="shared" si="9"/>
        <v>0.21978021978021978</v>
      </c>
      <c r="E120" s="9">
        <v>46074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5">
    <mergeCell ref="B95:B100"/>
    <mergeCell ref="B101:B104"/>
    <mergeCell ref="B105:B109"/>
    <mergeCell ref="B110:B115"/>
    <mergeCell ref="B116:B120"/>
  </mergeCells>
  <dataValidations count="4">
    <dataValidation type="list" allowBlank="1" showErrorMessage="1" sqref="H2:H92 E105:E109" xr:uid="{00000000-0002-0000-0200-000000000000}">
      <formula1>"circle,oval,rectangle,square,odd"</formula1>
    </dataValidation>
    <dataValidation type="list" allowBlank="1" showErrorMessage="1" sqref="F2:F92 E95:E100" xr:uid="{00000000-0002-0000-0200-000001000000}">
      <formula1>"metro,nat. parks,retail shops,f&amp;b,museums,tourist centres"</formula1>
    </dataValidation>
    <dataValidation type="list" allowBlank="1" showErrorMessage="1" sqref="G2:G92 E101:E104" xr:uid="{00000000-0002-0000-0200-000002000000}">
      <formula1>"mini,small,medium,large"</formula1>
    </dataValidation>
    <dataValidation type="list" allowBlank="1" showErrorMessage="1" sqref="I2:I92 E110:E115" xr:uid="{00000000-0002-0000-0200-000003000000}">
      <formula1>"blue,green,red,black,orange,multi"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taipei stamps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Lin Chow</cp:lastModifiedBy>
  <dcterms:modified xsi:type="dcterms:W3CDTF">2026-04-04T10:48:09Z</dcterms:modified>
</cp:coreProperties>
</file>